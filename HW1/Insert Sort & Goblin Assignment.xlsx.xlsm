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ankGod4life\OneDrive\Documents\CS 3350 projects\HW1\"/>
    </mc:Choice>
  </mc:AlternateContent>
  <bookViews>
    <workbookView xWindow="0" yWindow="0" windowWidth="20490" windowHeight="7755" activeTab="2"/>
  </bookViews>
  <sheets>
    <sheet name="GoblinDiceRoll" sheetId="1" r:id="rId1"/>
    <sheet name="Regression Formula" sheetId="3" r:id="rId2"/>
    <sheet name="InsertSort" sheetId="2" r:id="rId3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" i="1" l="1"/>
  <c r="U7" i="1"/>
  <c r="U8" i="1"/>
  <c r="U9" i="1"/>
  <c r="U10" i="1"/>
  <c r="U11" i="1"/>
  <c r="U12" i="1"/>
  <c r="U13" i="1"/>
  <c r="U14" i="1"/>
  <c r="U15" i="1"/>
  <c r="U16" i="1"/>
  <c r="U5" i="1"/>
  <c r="D5" i="1" l="1"/>
  <c r="C19" i="1" l="1"/>
  <c r="D15" i="1"/>
  <c r="D13" i="1"/>
  <c r="D11" i="1"/>
  <c r="D9" i="1"/>
  <c r="D7" i="1"/>
  <c r="D16" i="1"/>
  <c r="D14" i="1"/>
  <c r="D12" i="1"/>
  <c r="D10" i="1"/>
  <c r="D8" i="1"/>
  <c r="D6" i="1"/>
</calcChain>
</file>

<file path=xl/sharedStrings.xml><?xml version="1.0" encoding="utf-8"?>
<sst xmlns="http://schemas.openxmlformats.org/spreadsheetml/2006/main" count="36" uniqueCount="35">
  <si>
    <t>Magic No</t>
  </si>
  <si>
    <t>d6 Dice</t>
  </si>
  <si>
    <t>Time</t>
  </si>
  <si>
    <t>Size</t>
  </si>
  <si>
    <t>random die rolls (1-6)</t>
  </si>
  <si>
    <t>number of bombs</t>
  </si>
  <si>
    <t>number of hits</t>
  </si>
  <si>
    <t>Total number of hits</t>
  </si>
  <si>
    <t>Number of Successes</t>
  </si>
  <si>
    <t>successful kill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</si>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</sst>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name val="Arial"/>
    </font>
    <font>
      <b/>
      <u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20"/>
      <name val="Arial"/>
      <family val="2"/>
    </font>
    <font>
      <b/>
      <sz val="10"/>
      <color indexed="12"/>
      <name val="Arial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1" applyFont="1" applyAlignment="1">
      <alignment horizontal="center"/>
    </xf>
    <xf numFmtId="0" fontId="3" fillId="0" borderId="1" xfId="1" applyFont="1" applyBorder="1"/>
    <xf numFmtId="0" fontId="5" fillId="0" borderId="2" xfId="1" applyFont="1" applyBorder="1" applyAlignment="1">
      <alignment horizontal="center"/>
    </xf>
    <xf numFmtId="0" fontId="1" fillId="0" borderId="0" xfId="1"/>
    <xf numFmtId="0" fontId="1" fillId="0" borderId="0" xfId="1"/>
    <xf numFmtId="0" fontId="4" fillId="0" borderId="0" xfId="1" applyFont="1" applyAlignment="1">
      <alignment horizontal="center"/>
    </xf>
    <xf numFmtId="9" fontId="0" fillId="0" borderId="0" xfId="0" applyNumberFormat="1"/>
    <xf numFmtId="0" fontId="0" fillId="0" borderId="0" xfId="0" applyFill="1" applyBorder="1" applyAlignment="1"/>
    <xf numFmtId="0" fontId="0" fillId="0" borderId="3" xfId="0" applyFill="1" applyBorder="1" applyAlignment="1"/>
    <xf numFmtId="0" fontId="6" fillId="0" borderId="4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Continuous"/>
    </xf>
    <xf numFmtId="0" fontId="2" fillId="0" borderId="0" xfId="1" applyFont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Bomb Damages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successful victory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GoblinDiceRoll!$U$5:$U$16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0.04</c:v>
                </c:pt>
                <c:pt idx="3">
                  <c:v>0.11</c:v>
                </c:pt>
                <c:pt idx="4">
                  <c:v>0.21000000000000002</c:v>
                </c:pt>
                <c:pt idx="5">
                  <c:v>0.33</c:v>
                </c:pt>
                <c:pt idx="6">
                  <c:v>0.45000000000000007</c:v>
                </c:pt>
                <c:pt idx="7">
                  <c:v>0.54</c:v>
                </c:pt>
                <c:pt idx="8">
                  <c:v>0.6100000000000001</c:v>
                </c:pt>
                <c:pt idx="9">
                  <c:v>0.69</c:v>
                </c:pt>
                <c:pt idx="10">
                  <c:v>0.75</c:v>
                </c:pt>
                <c:pt idx="11">
                  <c:v>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387452952"/>
        <c:axId val="387451776"/>
      </c:lineChart>
      <c:catAx>
        <c:axId val="387452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bombs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51776"/>
        <c:crosses val="autoZero"/>
        <c:auto val="1"/>
        <c:lblAlgn val="ctr"/>
        <c:lblOffset val="100"/>
        <c:noMultiLvlLbl val="0"/>
      </c:catAx>
      <c:valAx>
        <c:axId val="38745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  <a:r>
                  <a:rPr lang="en-US" baseline="0"/>
                  <a:t> to win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52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Growth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Size(n)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InsertSort!$D$4:$D$28</c:f>
              <c:numCache>
                <c:formatCode>General</c:formatCode>
                <c:ptCount val="25"/>
                <c:pt idx="0">
                  <c:v>3.125E-2</c:v>
                </c:pt>
                <c:pt idx="1">
                  <c:v>3.125E-2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6.25E-2</c:v>
                </c:pt>
                <c:pt idx="7">
                  <c:v>6.25E-2</c:v>
                </c:pt>
                <c:pt idx="8">
                  <c:v>0.140625</c:v>
                </c:pt>
                <c:pt idx="9">
                  <c:v>0.140625</c:v>
                </c:pt>
                <c:pt idx="10">
                  <c:v>0.171875</c:v>
                </c:pt>
                <c:pt idx="11">
                  <c:v>0.328125</c:v>
                </c:pt>
                <c:pt idx="12">
                  <c:v>0.453125</c:v>
                </c:pt>
                <c:pt idx="13">
                  <c:v>0.453125</c:v>
                </c:pt>
                <c:pt idx="14">
                  <c:v>0.71875</c:v>
                </c:pt>
                <c:pt idx="15">
                  <c:v>0.78125</c:v>
                </c:pt>
                <c:pt idx="16">
                  <c:v>0.953125</c:v>
                </c:pt>
                <c:pt idx="17">
                  <c:v>0.96875</c:v>
                </c:pt>
                <c:pt idx="18">
                  <c:v>1.125</c:v>
                </c:pt>
                <c:pt idx="19">
                  <c:v>1.046875</c:v>
                </c:pt>
                <c:pt idx="20">
                  <c:v>1.265625</c:v>
                </c:pt>
                <c:pt idx="21">
                  <c:v>1.28125</c:v>
                </c:pt>
                <c:pt idx="22">
                  <c:v>1.38671875</c:v>
                </c:pt>
                <c:pt idx="23">
                  <c:v>1.28125</c:v>
                </c:pt>
                <c:pt idx="24">
                  <c:v>1.484375</c:v>
                </c:pt>
              </c:numCache>
            </c:numRef>
          </c:cat>
          <c:val>
            <c:numRef>
              <c:f>InsertSort!$E$4:$E$28</c:f>
              <c:numCache>
                <c:formatCode>General</c:formatCode>
                <c:ptCount val="25"/>
                <c:pt idx="0">
                  <c:v>480</c:v>
                </c:pt>
                <c:pt idx="1">
                  <c:v>549</c:v>
                </c:pt>
                <c:pt idx="2">
                  <c:v>572</c:v>
                </c:pt>
                <c:pt idx="3">
                  <c:v>767</c:v>
                </c:pt>
                <c:pt idx="4">
                  <c:v>863</c:v>
                </c:pt>
                <c:pt idx="5">
                  <c:v>871</c:v>
                </c:pt>
                <c:pt idx="6">
                  <c:v>876</c:v>
                </c:pt>
                <c:pt idx="7">
                  <c:v>887</c:v>
                </c:pt>
                <c:pt idx="8">
                  <c:v>1273</c:v>
                </c:pt>
                <c:pt idx="9">
                  <c:v>1293</c:v>
                </c:pt>
                <c:pt idx="10">
                  <c:v>1326</c:v>
                </c:pt>
                <c:pt idx="11">
                  <c:v>1817</c:v>
                </c:pt>
                <c:pt idx="12">
                  <c:v>2314</c:v>
                </c:pt>
                <c:pt idx="13">
                  <c:v>2379</c:v>
                </c:pt>
                <c:pt idx="14">
                  <c:v>2832</c:v>
                </c:pt>
                <c:pt idx="15">
                  <c:v>3096</c:v>
                </c:pt>
                <c:pt idx="16">
                  <c:v>3305</c:v>
                </c:pt>
                <c:pt idx="17">
                  <c:v>3481</c:v>
                </c:pt>
                <c:pt idx="18">
                  <c:v>3557</c:v>
                </c:pt>
                <c:pt idx="19">
                  <c:v>3577</c:v>
                </c:pt>
                <c:pt idx="20">
                  <c:v>3731</c:v>
                </c:pt>
                <c:pt idx="21">
                  <c:v>3793</c:v>
                </c:pt>
                <c:pt idx="22">
                  <c:v>3859</c:v>
                </c:pt>
                <c:pt idx="23">
                  <c:v>3970</c:v>
                </c:pt>
                <c:pt idx="24">
                  <c:v>4436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387453344"/>
        <c:axId val="387453736"/>
      </c:lineChart>
      <c:catAx>
        <c:axId val="3874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53736"/>
        <c:crosses val="autoZero"/>
        <c:auto val="1"/>
        <c:lblAlgn val="ctr"/>
        <c:lblOffset val="100"/>
        <c:noMultiLvlLbl val="0"/>
      </c:catAx>
      <c:valAx>
        <c:axId val="38745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5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</xdr:row>
          <xdr:rowOff>28575</xdr:rowOff>
        </xdr:from>
        <xdr:to>
          <xdr:col>4</xdr:col>
          <xdr:colOff>438150</xdr:colOff>
          <xdr:row>3</xdr:row>
          <xdr:rowOff>0</xdr:rowOff>
        </xdr:to>
        <xdr:sp macro="" textlink="">
          <xdr:nvSpPr>
            <xdr:cNvPr id="2049" name="RollSimul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609599</xdr:colOff>
      <xdr:row>17</xdr:row>
      <xdr:rowOff>14286</xdr:rowOff>
    </xdr:from>
    <xdr:to>
      <xdr:col>17</xdr:col>
      <xdr:colOff>581024</xdr:colOff>
      <xdr:row>31</xdr:row>
      <xdr:rowOff>171449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400050</xdr:colOff>
      <xdr:row>2</xdr:row>
      <xdr:rowOff>171450</xdr:rowOff>
    </xdr:from>
    <xdr:to>
      <xdr:col>7</xdr:col>
      <xdr:colOff>390525</xdr:colOff>
      <xdr:row>4</xdr:row>
      <xdr:rowOff>161925</xdr:rowOff>
    </xdr:to>
    <xdr:sp macro="" textlink="">
      <xdr:nvSpPr>
        <xdr:cNvPr id="2049" name="SortButton" hidden="1">
          <a:extLst>
            <a:ext uri="{63B3BB69-23CF-44E3-9099-C40C66FF867C}">
              <a14:compatExt xmlns:a14="http://schemas.microsoft.com/office/drawing/2010/main" spid="_x0000_s20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400050</xdr:colOff>
      <xdr:row>2</xdr:row>
      <xdr:rowOff>171450</xdr:rowOff>
    </xdr:from>
    <xdr:to>
      <xdr:col>7</xdr:col>
      <xdr:colOff>390525</xdr:colOff>
      <xdr:row>4</xdr:row>
      <xdr:rowOff>161925</xdr:rowOff>
    </xdr:to>
    <xdr:pic>
      <xdr:nvPicPr>
        <xdr:cNvPr id="2" name="SortButt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48050" y="552450"/>
          <a:ext cx="120967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104775</xdr:colOff>
      <xdr:row>9</xdr:row>
      <xdr:rowOff>66676</xdr:rowOff>
    </xdr:from>
    <xdr:to>
      <xdr:col>16</xdr:col>
      <xdr:colOff>276225</xdr:colOff>
      <xdr:row>29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4</xdr:row>
          <xdr:rowOff>142875</xdr:rowOff>
        </xdr:to>
        <xdr:sp macro="" textlink="">
          <xdr:nvSpPr>
            <xdr:cNvPr id="3073" name="Show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U19"/>
  <sheetViews>
    <sheetView topLeftCell="D1" workbookViewId="0">
      <selection activeCell="F3" sqref="F3:U16"/>
    </sheetView>
  </sheetViews>
  <sheetFormatPr defaultRowHeight="15" x14ac:dyDescent="0.25"/>
  <cols>
    <col min="2" max="2" width="16.85546875" bestFit="1" customWidth="1"/>
    <col min="3" max="3" width="20.28515625" bestFit="1" customWidth="1"/>
    <col min="4" max="4" width="14.140625" bestFit="1" customWidth="1"/>
    <col min="20" max="21" width="18" bestFit="1" customWidth="1"/>
  </cols>
  <sheetData>
    <row r="2" spans="2:21" x14ac:dyDescent="0.25">
      <c r="F2" s="6"/>
      <c r="G2" s="6"/>
      <c r="H2" s="6"/>
      <c r="I2" s="6"/>
      <c r="J2" s="13" t="s">
        <v>8</v>
      </c>
      <c r="K2" s="13"/>
      <c r="L2" s="13"/>
      <c r="M2" s="13"/>
      <c r="N2" s="13"/>
      <c r="O2" s="13"/>
      <c r="P2" s="6"/>
      <c r="Q2" s="6"/>
      <c r="R2" s="6"/>
    </row>
    <row r="3" spans="2:21" x14ac:dyDescent="0.25">
      <c r="B3" s="1"/>
      <c r="C3" s="3" t="s">
        <v>0</v>
      </c>
      <c r="F3" s="7">
        <v>0</v>
      </c>
      <c r="G3" s="7">
        <v>1</v>
      </c>
      <c r="H3" s="7">
        <v>2</v>
      </c>
      <c r="I3" s="7">
        <v>3</v>
      </c>
      <c r="J3" s="7">
        <v>4</v>
      </c>
      <c r="K3" s="7">
        <v>5</v>
      </c>
      <c r="L3" s="7">
        <v>6</v>
      </c>
      <c r="M3" s="7">
        <v>7</v>
      </c>
      <c r="N3" s="7">
        <v>8</v>
      </c>
      <c r="O3" s="7">
        <v>9</v>
      </c>
      <c r="P3" s="7">
        <v>10</v>
      </c>
      <c r="Q3" s="7">
        <v>11</v>
      </c>
      <c r="R3" s="7">
        <v>12</v>
      </c>
      <c r="U3" t="s">
        <v>9</v>
      </c>
    </row>
    <row r="4" spans="2:21" x14ac:dyDescent="0.25">
      <c r="B4" s="2" t="s">
        <v>1</v>
      </c>
      <c r="C4" s="4">
        <v>2</v>
      </c>
    </row>
    <row r="5" spans="2:21" x14ac:dyDescent="0.25">
      <c r="B5" s="5">
        <v>1</v>
      </c>
      <c r="C5">
        <v>4</v>
      </c>
      <c r="D5">
        <f>COUNTIF($C$5:C5,"&lt;"&amp;TEXT($C$4+1,"0"))</f>
        <v>0</v>
      </c>
      <c r="F5" s="8">
        <v>0.67</v>
      </c>
      <c r="G5" s="8">
        <v>0.33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U5" s="8">
        <f>SUM(I5:R5)</f>
        <v>0</v>
      </c>
    </row>
    <row r="6" spans="2:21" x14ac:dyDescent="0.25">
      <c r="B6" s="5">
        <v>2</v>
      </c>
      <c r="C6">
        <v>1</v>
      </c>
      <c r="D6">
        <f>COUNTIF($C$5:C6,"&lt;"&amp;TEXT($C$4+1,"0"))</f>
        <v>1</v>
      </c>
      <c r="F6" s="8">
        <v>0.45</v>
      </c>
      <c r="G6" s="8">
        <v>0.44</v>
      </c>
      <c r="H6" s="8">
        <v>0.11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U6" s="8">
        <f t="shared" ref="U6:U16" si="0">SUM(I6:R6)</f>
        <v>0</v>
      </c>
    </row>
    <row r="7" spans="2:21" x14ac:dyDescent="0.25">
      <c r="B7" s="5">
        <v>3</v>
      </c>
      <c r="C7">
        <v>5</v>
      </c>
      <c r="D7">
        <f>COUNTIF($C$5:C7,"&lt;"&amp;TEXT($C$4+1,"0"))</f>
        <v>1</v>
      </c>
      <c r="F7" s="8">
        <v>0.3</v>
      </c>
      <c r="G7" s="8">
        <v>0.44</v>
      </c>
      <c r="H7" s="8">
        <v>0.22</v>
      </c>
      <c r="I7" s="8">
        <v>0.04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U7" s="8">
        <f t="shared" si="0"/>
        <v>0.04</v>
      </c>
    </row>
    <row r="8" spans="2:21" x14ac:dyDescent="0.25">
      <c r="B8" s="5">
        <v>4</v>
      </c>
      <c r="C8">
        <v>1</v>
      </c>
      <c r="D8">
        <f>COUNTIF($C$5:C8,"&lt;"&amp;TEXT($C$4+1,"0"))</f>
        <v>2</v>
      </c>
      <c r="F8" s="8">
        <v>0.18</v>
      </c>
      <c r="G8" s="8">
        <v>0.38</v>
      </c>
      <c r="H8" s="8">
        <v>0.32</v>
      </c>
      <c r="I8" s="8">
        <v>0.1</v>
      </c>
      <c r="J8" s="8">
        <v>0.01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U8" s="8">
        <f t="shared" si="0"/>
        <v>0.11</v>
      </c>
    </row>
    <row r="9" spans="2:21" x14ac:dyDescent="0.25">
      <c r="B9" s="5">
        <v>5</v>
      </c>
      <c r="C9">
        <v>6</v>
      </c>
      <c r="D9">
        <f>COUNTIF($C$5:C9,"&lt;"&amp;TEXT($C$4+1,"0"))</f>
        <v>2</v>
      </c>
      <c r="F9" s="8">
        <v>0.12</v>
      </c>
      <c r="G9" s="8">
        <v>0.34</v>
      </c>
      <c r="H9" s="8">
        <v>0.33</v>
      </c>
      <c r="I9" s="8">
        <v>0.16</v>
      </c>
      <c r="J9" s="8">
        <v>0.04</v>
      </c>
      <c r="K9" s="8">
        <v>0.01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U9" s="8">
        <f t="shared" si="0"/>
        <v>0.21000000000000002</v>
      </c>
    </row>
    <row r="10" spans="2:21" x14ac:dyDescent="0.25">
      <c r="B10" s="5">
        <v>6</v>
      </c>
      <c r="C10">
        <v>2</v>
      </c>
      <c r="D10">
        <f>COUNTIF($C$5:C10,"&lt;"&amp;TEXT($C$4+1,"0"))</f>
        <v>3</v>
      </c>
      <c r="F10" s="8">
        <v>0.1</v>
      </c>
      <c r="G10" s="8">
        <v>0.26</v>
      </c>
      <c r="H10" s="8">
        <v>0.32</v>
      </c>
      <c r="I10" s="8">
        <v>0.23</v>
      </c>
      <c r="J10" s="8">
        <v>0.08</v>
      </c>
      <c r="K10" s="8">
        <v>0.02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U10" s="8">
        <f t="shared" si="0"/>
        <v>0.33</v>
      </c>
    </row>
    <row r="11" spans="2:21" x14ac:dyDescent="0.25">
      <c r="B11" s="5">
        <v>7</v>
      </c>
      <c r="C11">
        <v>1</v>
      </c>
      <c r="D11">
        <f>COUNTIF($C$5:C11,"&lt;"&amp;TEXT($C$4+1,"0"))</f>
        <v>4</v>
      </c>
      <c r="F11" s="8">
        <v>0.04</v>
      </c>
      <c r="G11" s="8">
        <v>0.21</v>
      </c>
      <c r="H11" s="8">
        <v>0.3</v>
      </c>
      <c r="I11" s="8">
        <v>0.27</v>
      </c>
      <c r="J11" s="8">
        <v>0.14000000000000001</v>
      </c>
      <c r="K11" s="8">
        <v>0.03</v>
      </c>
      <c r="L11" s="8">
        <v>0.01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U11" s="8">
        <f t="shared" si="0"/>
        <v>0.45000000000000007</v>
      </c>
    </row>
    <row r="12" spans="2:21" x14ac:dyDescent="0.25">
      <c r="B12" s="5">
        <v>8</v>
      </c>
      <c r="C12">
        <v>1</v>
      </c>
      <c r="D12">
        <f>COUNTIF($C$5:C12,"&lt;"&amp;TEXT($C$4+1,"0"))</f>
        <v>5</v>
      </c>
      <c r="F12" s="8">
        <v>0.04</v>
      </c>
      <c r="G12" s="8">
        <v>0.16</v>
      </c>
      <c r="H12" s="8">
        <v>0.28000000000000003</v>
      </c>
      <c r="I12" s="8">
        <v>0.26</v>
      </c>
      <c r="J12" s="8">
        <v>0.18</v>
      </c>
      <c r="K12" s="8">
        <v>0.08</v>
      </c>
      <c r="L12" s="8">
        <v>0.02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U12" s="8">
        <f t="shared" si="0"/>
        <v>0.54</v>
      </c>
    </row>
    <row r="13" spans="2:21" x14ac:dyDescent="0.25">
      <c r="B13" s="5">
        <v>9</v>
      </c>
      <c r="C13">
        <v>4</v>
      </c>
      <c r="D13">
        <f>COUNTIF($C$5:C13,"&lt;"&amp;TEXT($C$4+1,"0"))</f>
        <v>5</v>
      </c>
      <c r="F13" s="8">
        <v>0.02</v>
      </c>
      <c r="G13" s="8">
        <v>0.11</v>
      </c>
      <c r="H13" s="8">
        <v>0.26</v>
      </c>
      <c r="I13" s="8">
        <v>0.28000000000000003</v>
      </c>
      <c r="J13" s="8">
        <v>0.19</v>
      </c>
      <c r="K13" s="8">
        <v>0.1</v>
      </c>
      <c r="L13" s="8">
        <v>0.03</v>
      </c>
      <c r="M13" s="8">
        <v>0.01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U13" s="8">
        <f t="shared" si="0"/>
        <v>0.6100000000000001</v>
      </c>
    </row>
    <row r="14" spans="2:21" x14ac:dyDescent="0.25">
      <c r="B14" s="5">
        <v>10</v>
      </c>
      <c r="C14">
        <v>2</v>
      </c>
      <c r="D14">
        <f>COUNTIF($C$5:C14,"&lt;"&amp;TEXT($C$4+1,"0"))</f>
        <v>6</v>
      </c>
      <c r="F14" s="8">
        <v>0.02</v>
      </c>
      <c r="G14" s="8">
        <v>0.1</v>
      </c>
      <c r="H14" s="8">
        <v>0.2</v>
      </c>
      <c r="I14" s="8">
        <v>0.24</v>
      </c>
      <c r="J14" s="8">
        <v>0.21</v>
      </c>
      <c r="K14" s="8">
        <v>0.16</v>
      </c>
      <c r="L14" s="8">
        <v>0.06</v>
      </c>
      <c r="M14" s="8">
        <v>0.02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U14" s="8">
        <f t="shared" si="0"/>
        <v>0.69</v>
      </c>
    </row>
    <row r="15" spans="2:21" x14ac:dyDescent="0.25">
      <c r="B15" s="5">
        <v>11</v>
      </c>
      <c r="C15">
        <v>5</v>
      </c>
      <c r="D15">
        <f>COUNTIF($C$5:C15,"&lt;"&amp;TEXT($C$4+1,"0"))</f>
        <v>6</v>
      </c>
      <c r="F15" s="8">
        <v>0.02</v>
      </c>
      <c r="G15" s="8">
        <v>0.06</v>
      </c>
      <c r="H15" s="8">
        <v>0.18</v>
      </c>
      <c r="I15" s="8">
        <v>0.23</v>
      </c>
      <c r="J15" s="8">
        <v>0.23</v>
      </c>
      <c r="K15" s="8">
        <v>0.17</v>
      </c>
      <c r="L15" s="8">
        <v>0.08</v>
      </c>
      <c r="M15" s="8">
        <v>0.04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U15" s="8">
        <f t="shared" si="0"/>
        <v>0.75</v>
      </c>
    </row>
    <row r="16" spans="2:21" x14ac:dyDescent="0.25">
      <c r="B16" s="5">
        <v>12</v>
      </c>
      <c r="C16">
        <v>3</v>
      </c>
      <c r="D16">
        <f>COUNTIF($C$5:C16,"&lt;"&amp;TEXT($C$4+1,"0"))</f>
        <v>6</v>
      </c>
      <c r="F16" s="8">
        <v>0.01</v>
      </c>
      <c r="G16" s="8">
        <v>0.04</v>
      </c>
      <c r="H16" s="8">
        <v>0.13</v>
      </c>
      <c r="I16" s="8">
        <v>0.23</v>
      </c>
      <c r="J16" s="8">
        <v>0.23</v>
      </c>
      <c r="K16" s="8">
        <v>0.19</v>
      </c>
      <c r="L16" s="8">
        <v>0.11</v>
      </c>
      <c r="M16" s="8">
        <v>0.03</v>
      </c>
      <c r="N16" s="8">
        <v>0.02</v>
      </c>
      <c r="O16" s="8">
        <v>0</v>
      </c>
      <c r="P16" s="8">
        <v>0</v>
      </c>
      <c r="Q16" s="8">
        <v>0</v>
      </c>
      <c r="R16" s="8">
        <v>0</v>
      </c>
      <c r="U16" s="8">
        <f t="shared" si="0"/>
        <v>0.81</v>
      </c>
    </row>
    <row r="17" spans="2:6" x14ac:dyDescent="0.25">
      <c r="B17" t="s">
        <v>5</v>
      </c>
      <c r="C17" t="s">
        <v>4</v>
      </c>
      <c r="D17" t="s">
        <v>6</v>
      </c>
      <c r="F17" s="8"/>
    </row>
    <row r="18" spans="2:6" x14ac:dyDescent="0.25">
      <c r="C18" t="s">
        <v>7</v>
      </c>
    </row>
    <row r="19" spans="2:6" x14ac:dyDescent="0.25">
      <c r="C19">
        <f>COUNTIF(C5:C17,"&lt;"&amp;TEXT($C$4+1,"0"))</f>
        <v>6</v>
      </c>
    </row>
  </sheetData>
  <mergeCells count="1">
    <mergeCell ref="J2:O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ollSimul">
          <controlPr defaultSize="0" autoLine="0" r:id="rId4">
            <anchor moveWithCells="1">
              <from>
                <xdr:col>3</xdr:col>
                <xdr:colOff>266700</xdr:colOff>
                <xdr:row>1</xdr:row>
                <xdr:rowOff>28575</xdr:rowOff>
              </from>
              <to>
                <xdr:col>4</xdr:col>
                <xdr:colOff>438150</xdr:colOff>
                <xdr:row>3</xdr:row>
                <xdr:rowOff>0</xdr:rowOff>
              </to>
            </anchor>
          </controlPr>
        </control>
      </mc:Choice>
      <mc:Fallback>
        <control shapeId="2049" r:id="rId3" name="RollSimu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8"/>
  <sheetViews>
    <sheetView workbookViewId="0">
      <selection activeCell="K18" sqref="K18"/>
    </sheetView>
  </sheetViews>
  <sheetFormatPr defaultRowHeight="15" x14ac:dyDescent="0.25"/>
  <sheetData>
    <row r="1" spans="1:9" x14ac:dyDescent="0.25">
      <c r="A1" t="s">
        <v>10</v>
      </c>
    </row>
    <row r="2" spans="1:9" ht="15.75" thickBot="1" x14ac:dyDescent="0.3"/>
    <row r="3" spans="1:9" x14ac:dyDescent="0.25">
      <c r="A3" s="12" t="s">
        <v>11</v>
      </c>
      <c r="B3" s="12"/>
    </row>
    <row r="4" spans="1:9" x14ac:dyDescent="0.25">
      <c r="A4" s="9" t="s">
        <v>12</v>
      </c>
      <c r="B4" s="9">
        <v>0.9697071628877052</v>
      </c>
    </row>
    <row r="5" spans="1:9" x14ac:dyDescent="0.25">
      <c r="A5" s="9" t="s">
        <v>13</v>
      </c>
      <c r="B5" s="9">
        <v>0.94033198175572252</v>
      </c>
    </row>
    <row r="6" spans="1:9" x14ac:dyDescent="0.25">
      <c r="A6" s="9" t="s">
        <v>14</v>
      </c>
      <c r="B6" s="9">
        <v>0.93773772009292788</v>
      </c>
    </row>
    <row r="7" spans="1:9" x14ac:dyDescent="0.25">
      <c r="A7" s="9" t="s">
        <v>15</v>
      </c>
      <c r="B7" s="9">
        <v>338.8208224132174</v>
      </c>
    </row>
    <row r="8" spans="1:9" ht="15.75" thickBot="1" x14ac:dyDescent="0.3">
      <c r="A8" s="10" t="s">
        <v>16</v>
      </c>
      <c r="B8" s="10">
        <v>25</v>
      </c>
    </row>
    <row r="10" spans="1:9" ht="15.75" thickBot="1" x14ac:dyDescent="0.3">
      <c r="A10" t="s">
        <v>17</v>
      </c>
    </row>
    <row r="11" spans="1:9" x14ac:dyDescent="0.25">
      <c r="A11" s="11"/>
      <c r="B11" s="11" t="s">
        <v>22</v>
      </c>
      <c r="C11" s="11" t="s">
        <v>23</v>
      </c>
      <c r="D11" s="11" t="s">
        <v>24</v>
      </c>
      <c r="E11" s="11" t="s">
        <v>25</v>
      </c>
      <c r="F11" s="11" t="s">
        <v>26</v>
      </c>
    </row>
    <row r="12" spans="1:9" x14ac:dyDescent="0.25">
      <c r="A12" s="9" t="s">
        <v>18</v>
      </c>
      <c r="B12" s="9">
        <v>1</v>
      </c>
      <c r="C12" s="9">
        <v>41610948.356882311</v>
      </c>
      <c r="D12" s="9">
        <v>41610948.356882311</v>
      </c>
      <c r="E12" s="9">
        <v>362.46612870297321</v>
      </c>
      <c r="F12" s="9">
        <v>1.4113963324807444E-15</v>
      </c>
    </row>
    <row r="13" spans="1:9" x14ac:dyDescent="0.25">
      <c r="A13" s="9" t="s">
        <v>19</v>
      </c>
      <c r="B13" s="9">
        <v>23</v>
      </c>
      <c r="C13" s="9">
        <v>2640389.6431176872</v>
      </c>
      <c r="D13" s="9">
        <v>114799.54970076901</v>
      </c>
      <c r="E13" s="9"/>
      <c r="F13" s="9"/>
    </row>
    <row r="14" spans="1:9" ht="15.75" thickBot="1" x14ac:dyDescent="0.3">
      <c r="A14" s="10" t="s">
        <v>20</v>
      </c>
      <c r="B14" s="10">
        <v>24</v>
      </c>
      <c r="C14" s="10">
        <v>44251338</v>
      </c>
      <c r="D14" s="10"/>
      <c r="E14" s="10"/>
      <c r="F14" s="10"/>
    </row>
    <row r="15" spans="1:9" ht="15.75" thickBot="1" x14ac:dyDescent="0.3"/>
    <row r="16" spans="1:9" x14ac:dyDescent="0.25">
      <c r="A16" s="11"/>
      <c r="B16" s="11" t="s">
        <v>27</v>
      </c>
      <c r="C16" s="11" t="s">
        <v>15</v>
      </c>
      <c r="D16" s="11" t="s">
        <v>28</v>
      </c>
      <c r="E16" s="11" t="s">
        <v>29</v>
      </c>
      <c r="F16" s="11" t="s">
        <v>30</v>
      </c>
      <c r="G16" s="11" t="s">
        <v>31</v>
      </c>
      <c r="H16" s="11" t="s">
        <v>32</v>
      </c>
      <c r="I16" s="11" t="s">
        <v>33</v>
      </c>
    </row>
    <row r="17" spans="1:9" x14ac:dyDescent="0.25">
      <c r="A17" s="9" t="s">
        <v>21</v>
      </c>
      <c r="B17" s="9">
        <v>1105.2996333327924</v>
      </c>
      <c r="C17" s="9">
        <v>120.99937290648272</v>
      </c>
      <c r="D17" s="9">
        <v>9.1347550551939616</v>
      </c>
      <c r="E17" s="9">
        <v>4.0976529961722258E-9</v>
      </c>
      <c r="F17" s="9">
        <v>854.99335971386438</v>
      </c>
      <c r="G17" s="9">
        <v>1355.6059069517203</v>
      </c>
      <c r="H17" s="9">
        <v>854.99335971386438</v>
      </c>
      <c r="I17" s="9">
        <v>1355.6059069517203</v>
      </c>
    </row>
    <row r="18" spans="1:9" ht="15.75" thickBot="1" x14ac:dyDescent="0.3">
      <c r="A18" s="10" t="s">
        <v>34</v>
      </c>
      <c r="B18" s="10">
        <v>1974.2043553693438</v>
      </c>
      <c r="C18" s="10">
        <v>103.69513730531216</v>
      </c>
      <c r="D18" s="10">
        <v>19.038543240042635</v>
      </c>
      <c r="E18" s="10">
        <v>1.4113963324807444E-15</v>
      </c>
      <c r="F18" s="10">
        <v>1759.6946204192616</v>
      </c>
      <c r="G18" s="10">
        <v>2188.7140903194258</v>
      </c>
      <c r="H18" s="10">
        <v>1759.6946204192616</v>
      </c>
      <c r="I18" s="10">
        <v>2188.7140903194258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D3:E28"/>
  <sheetViews>
    <sheetView tabSelected="1" zoomScaleNormal="100" workbookViewId="0">
      <selection activeCell="O8" sqref="O8"/>
    </sheetView>
  </sheetViews>
  <sheetFormatPr defaultRowHeight="15" x14ac:dyDescent="0.25"/>
  <sheetData>
    <row r="3" spans="4:5" x14ac:dyDescent="0.25">
      <c r="D3" t="s">
        <v>2</v>
      </c>
      <c r="E3" t="s">
        <v>3</v>
      </c>
    </row>
    <row r="4" spans="4:5" x14ac:dyDescent="0.25">
      <c r="D4">
        <v>3.125E-2</v>
      </c>
      <c r="E4">
        <v>480</v>
      </c>
    </row>
    <row r="5" spans="4:5" x14ac:dyDescent="0.25">
      <c r="D5">
        <v>3.125E-2</v>
      </c>
      <c r="E5">
        <v>549</v>
      </c>
    </row>
    <row r="6" spans="4:5" x14ac:dyDescent="0.25">
      <c r="D6">
        <v>3.125E-2</v>
      </c>
      <c r="E6">
        <v>572</v>
      </c>
    </row>
    <row r="7" spans="4:5" x14ac:dyDescent="0.25">
      <c r="D7">
        <v>4.6875E-2</v>
      </c>
      <c r="E7">
        <v>767</v>
      </c>
    </row>
    <row r="8" spans="4:5" x14ac:dyDescent="0.25">
      <c r="D8">
        <v>6.25E-2</v>
      </c>
      <c r="E8">
        <v>863</v>
      </c>
    </row>
    <row r="9" spans="4:5" x14ac:dyDescent="0.25">
      <c r="D9">
        <v>7.8125E-2</v>
      </c>
      <c r="E9">
        <v>871</v>
      </c>
    </row>
    <row r="10" spans="4:5" x14ac:dyDescent="0.25">
      <c r="D10">
        <v>6.25E-2</v>
      </c>
      <c r="E10">
        <v>876</v>
      </c>
    </row>
    <row r="11" spans="4:5" x14ac:dyDescent="0.25">
      <c r="D11">
        <v>6.25E-2</v>
      </c>
      <c r="E11">
        <v>887</v>
      </c>
    </row>
    <row r="12" spans="4:5" x14ac:dyDescent="0.25">
      <c r="D12">
        <v>0.140625</v>
      </c>
      <c r="E12">
        <v>1273</v>
      </c>
    </row>
    <row r="13" spans="4:5" x14ac:dyDescent="0.25">
      <c r="D13">
        <v>0.140625</v>
      </c>
      <c r="E13">
        <v>1293</v>
      </c>
    </row>
    <row r="14" spans="4:5" x14ac:dyDescent="0.25">
      <c r="D14">
        <v>0.171875</v>
      </c>
      <c r="E14">
        <v>1326</v>
      </c>
    </row>
    <row r="15" spans="4:5" x14ac:dyDescent="0.25">
      <c r="D15">
        <v>0.328125</v>
      </c>
      <c r="E15">
        <v>1817</v>
      </c>
    </row>
    <row r="16" spans="4:5" x14ac:dyDescent="0.25">
      <c r="D16">
        <v>0.453125</v>
      </c>
      <c r="E16">
        <v>2314</v>
      </c>
    </row>
    <row r="17" spans="4:5" x14ac:dyDescent="0.25">
      <c r="D17">
        <v>0.453125</v>
      </c>
      <c r="E17">
        <v>2379</v>
      </c>
    </row>
    <row r="18" spans="4:5" x14ac:dyDescent="0.25">
      <c r="D18">
        <v>0.71875</v>
      </c>
      <c r="E18">
        <v>2832</v>
      </c>
    </row>
    <row r="19" spans="4:5" x14ac:dyDescent="0.25">
      <c r="D19">
        <v>0.78125</v>
      </c>
      <c r="E19">
        <v>3096</v>
      </c>
    </row>
    <row r="20" spans="4:5" x14ac:dyDescent="0.25">
      <c r="D20">
        <v>0.953125</v>
      </c>
      <c r="E20">
        <v>3305</v>
      </c>
    </row>
    <row r="21" spans="4:5" x14ac:dyDescent="0.25">
      <c r="D21">
        <v>0.96875</v>
      </c>
      <c r="E21">
        <v>3481</v>
      </c>
    </row>
    <row r="22" spans="4:5" x14ac:dyDescent="0.25">
      <c r="D22">
        <v>1.125</v>
      </c>
      <c r="E22">
        <v>3557</v>
      </c>
    </row>
    <row r="23" spans="4:5" x14ac:dyDescent="0.25">
      <c r="D23">
        <v>1.046875</v>
      </c>
      <c r="E23">
        <v>3577</v>
      </c>
    </row>
    <row r="24" spans="4:5" x14ac:dyDescent="0.25">
      <c r="D24">
        <v>1.265625</v>
      </c>
      <c r="E24">
        <v>3731</v>
      </c>
    </row>
    <row r="25" spans="4:5" x14ac:dyDescent="0.25">
      <c r="D25">
        <v>1.28125</v>
      </c>
      <c r="E25">
        <v>3793</v>
      </c>
    </row>
    <row r="26" spans="4:5" x14ac:dyDescent="0.25">
      <c r="D26">
        <v>1.38671875</v>
      </c>
      <c r="E26">
        <v>3859</v>
      </c>
    </row>
    <row r="27" spans="4:5" x14ac:dyDescent="0.25">
      <c r="D27">
        <v>1.28125</v>
      </c>
      <c r="E27">
        <v>3970</v>
      </c>
    </row>
    <row r="28" spans="4:5" x14ac:dyDescent="0.25">
      <c r="D28">
        <v>1.484375</v>
      </c>
      <c r="E28">
        <v>4436</v>
      </c>
    </row>
  </sheetData>
  <sortState ref="D4:E28">
    <sortCondition ref="E4:E28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ShowButton">
          <controlPr defaultSize="0" autoLine="0" r:id="rId4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3073" r:id="rId3" name="Show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GoblinDiceRoll</vt:lpstr>
      <vt:lpstr>Regression Formula</vt:lpstr>
      <vt:lpstr>InsertSort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ThankGod4life</dc:creator>
  <cp:lastModifiedBy>ThankGod4life</cp:lastModifiedBy>
  <dcterms:created xsi:type="dcterms:W3CDTF">2016-01-23T21:33:19Z</dcterms:created>
  <dcterms:modified xsi:type="dcterms:W3CDTF">2016-01-31T03:31:16Z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a54bcaf8-2d8e-44b2-9401-19274c2f05d6</vt:lpwstr>
  </property>
</Properties>
</file>